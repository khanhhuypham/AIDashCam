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bookViews>
    <workbookView windowWidth="23040" windowHeight="9000" tabRatio="500"/>
  </bookViews>
  <sheets>
    <sheet name="So sánh đề tài" sheetId="1" r:id="rId1"/>
    <sheet name="Công việc cần làm" sheetId="2"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<sst xmlns="http://schemas.openxmlformats.org/spreadsheetml/2006/main" count="246" uniqueCount="321">
  <si>
    <t>AI DASHCAM iOS</t>
  </si>
  <si>
    <t>Máy tối thiểu: iPhone 8 (chip A11, 2 GB RAM, tối đa iOS 16). Ngân sách: chưa chốt.</t>
  </si>
  <si>
    <t>Soạn ngày 26/09/2026. Số liệu và link cần mở lại để kiểm tra.</t>
  </si>
  <si>
    <t>Nội dung</t>
  </si>
  <si>
    <t>A. Cảnh báo va chạm – YOLO11n</t>
  </si>
  <si>
    <t>B. Cảnh báo lệch làn – TwinLiteNet</t>
  </si>
  <si>
    <t>C. Đa nhiệm – YOLOP</t>
  </si>
  <si>
    <t>Tên đề tài</t>
  </si>
  <si>
    <t>Phát hiện phương tiện và cảnh báo va chạm phía trước (FCW) trên iPhone dùng làm dashcam.</t>
  </si>
  <si>
    <t>Phân đoạn vùng đường lái được và vạch làn, cảnh báo lệch làn (LDW) trên iPhone.</t>
  </si>
  <si>
    <t>Một mô hình vừa phát hiện xe, vừa tách vùng lái được và vạch làn, chạy trên iPhone.</t>
  </si>
  <si>
    <t>Bài toán</t>
  </si>
  <si>
    <t>Tìm xe hơi, xe máy, xe tải, người đi bộ trong khung hình; ước lượng thời gian đến va chạm (TTC) với xe phía trước.</t>
  </si>
  <si>
    <t>Tô vùng đường xe đang chạy và vạch kẻ làn; phát hiện khi xe lệch khỏi làn.</t>
  </si>
  <si>
    <t>Làm cả hai việc của A và B trong một lần chạy mô hình.</t>
  </si>
  <si>
    <t>Mục tiêu</t>
  </si>
  <si>
    <t>Chạy được từ iPhone 8 trở lên khi vẫn quay video; cảnh báo đúng lúc, ít cảnh báo sai.</t>
  </si>
  <si>
    <t>Chạy được từ iPhone 8 trở lên; kiểm tra xem có dùng được trên đường Việt Nam (vạch mờ, nhiều xe máy) không.</t>
  </si>
  <si>
    <t>So sánh một mô hình đa nhiệm với hai mô hình nhỏ riêng; kiểm tra có chạy nổi trên iPhone 8 không.</t>
  </si>
  <si>
    <t>Đầu vào</t>
  </si>
  <si>
    <t>Khung hình camera sau (AVFoundation), thu nhỏ về 320–416 pixel trên iPhone 8, 640 pixel trên máy mới; tốc độ xe từ GPS.</t>
  </si>
  <si>
    <t>Khung hình camera sau, kích thước nhỏ nhất mà mô hình vẫn dùng được; tốc độ xe từ GPS.</t>
  </si>
  <si>
    <t>Khung hình camera sau, kích thước theo cấu hình của mô hình; tốc độ xe từ GPS.</t>
  </si>
  <si>
    <t>Đầu ra</t>
  </si>
  <si>
    <t>Khung bao, nhãn, điểm tin cậy; ID theo dõi từng xe; mức cảnh báo (âm thanh + rung) khi TTC nhỏ.</t>
  </si>
  <si>
    <t>Mặt nạ vùng lái được và vạch làn vẽ đè lên video; cảnh báo khi lệch làn mà không bật xi-nhan (người dùng tự xác nhận).</t>
  </si>
  <si>
    <t>Khung bao xe, mặt nạ vùng lái được, mặt nạ vạch làn; có thể dùng cho cả FCW và LDW.</t>
  </si>
  <si>
    <t>Mô hình</t>
  </si>
  <si>
    <t>YOLO11n (Ultralytics), khoảng 2,6 triệu tham số.</t>
  </si>
  <si>
    <t>TwinLiteNet, khoảng 0,4 triệu tham số, hai nhánh ra cho vùng lái được và vạch làn.</t>
  </si>
  <si>
    <t>YOLOP, khoảng 7,9 triệu tham số, một encoder chung và ba nhánh ra. Nặng nhất trong ba phương án.</t>
  </si>
  <si>
    <t>Dữ liệu</t>
  </si>
  <si>
    <t>BDD100K (nhãn phát hiện 10 lớp). Cần thêm video tự quay ở Việt Nam để có nhiều xe máy.</t>
  </si>
  <si>
    <t>BDD100K (nhãn vùng lái được và vạch làn). Có thể thử thêm CULane. Đường VN cần tập test riêng.</t>
  </si>
  <si>
    <t>BDD100K (dùng cả ba loại nhãn). Tập test VN tự gán nhãn sẽ tốn công nhất vì cần cả khung và mặt nạ.</t>
  </si>
  <si>
    <t>Tác giả đã train chưa?</t>
  </si>
  <si>
    <t>Ultralytics có trọng số train sẵn trên COCO; COCO đã có car, motorcycle, bus, truck, person. Chưa train cho đường VN.</t>
  </si>
  <si>
    <t>Tác giả đã train trên BDD100K và công bố kết quả. Chưa chạy lại để kiểm tra.</t>
  </si>
  <si>
    <t>Có mô hình tải về không?</t>
  </si>
  <si>
    <t>Có. Xuất sang Core ML chính thức bằng lệnh export của Ultralytics (có thể kèm NMS).</t>
  </si>
  <si>
    <t>Có trọng số trong repo (cần kiểm tra). Chưa có bản Core ML; phải tự chuyển bằng coremltools.</t>
  </si>
  <si>
    <t>Có trọng số .pth và bản ONNX trong repo (cần kiểm tra). Chưa có bản Core ML; phải tự chuyển.</t>
  </si>
  <si>
    <t>Code</t>
  </si>
  <si>
    <t>Có code train, đánh giá, dự đoán, export. Tài liệu đầy đủ, cộng đồng lớn.</t>
  </si>
  <si>
    <t>Có code train, đánh giá, dự đoán. Cần cài thử để kiểm tra phiên bản thư viện.</t>
  </si>
  <si>
    <t>Có code train, đánh giá, dự đoán, export ONNX. Code cũ hơn, có thể phải sửa theo PyTorch mới.</t>
  </si>
  <si>
    <t>Thiết bị / tốc độ</t>
  </si>
  <si>
    <t>Máy tối thiểu iPhone 8. Core ML không dùng được Neural Engine của chip A11, nên iPhone 8 chạy mô hình bằng GPU; từ chip A12 (iPhone XR/XS) mới chạy trên ANE. Chưa có số đo, cần tự đo. Mục tiêu AI 5–10 FPS trên iPhone 8.</t>
  </si>
  <si>
    <t>Máy tối thiểu iPhone 8, chạy bằng GPU. Mô hình rất nhẹ nên nhiều khả năng chạy tốt nhất trên máy cũ. Chưa có số đo, cần tự đo.</t>
  </si>
  <si>
    <t>Khó đạt thời gian thực trên iPhone 8 (mô hình nặng, chạy bằng GPU, chỉ 2 GB RAM). Có thể phải giới hạn C cho máy từ A12 trở lên.</t>
  </si>
  <si>
    <t>Cách làm dự kiến</t>
  </si>
  <si>
    <t>Python: train, thử logic tracking + TTC trên video, xuất Core ML. App SwiftUI: quay vòng video, chạy mô hình ở luồng riêng, cảnh báo.</t>
  </si>
  <si>
    <t>Python: train/đánh giá, thử logic lệch làn trên video, xuất Core ML. App SwiftUI: vẽ mặt nạ, cảnh báo lệch làn.</t>
  </si>
  <si>
    <t>Python: đánh giá, xuất Core ML, viết lại phần hậu xử lý bằng Swift. App SwiftUI: gộp FCW và LDW.</t>
  </si>
  <si>
    <t>Phần thực nghiệm</t>
  </si>
  <si>
    <t>So YOLO11n ở 416 và 640 pixel; trọng số COCO so với bản fine-tune dữ liệu VN; thử ban đêm và mưa.</t>
  </si>
  <si>
    <t>Chạy mô hình sẵn trên BDD100K và tập VN; thử ban đêm, đường không có vạch.</t>
  </si>
  <si>
    <t>So YOLOP với cách chạy YOLO11n + TwinLiteNet riêng trên cùng iPhone và cùng tập test.</t>
  </si>
  <si>
    <t>Đo những gì?</t>
  </si>
  <si>
    <t>mAP, precision, recall (riêng lớp xe máy); số cảnh báo sai mỗi giờ; thời gian xử lý, FPS, RAM, nhiệt độ máy, % pin mỗi giờ.</t>
  </si>
  <si>
    <t>mIoU vùng lái được, IoU và accuracy vạch làn; số cảnh báo sai mỗi giờ; thời gian xử lý, FPS, nhiệt độ, pin.</t>
  </si>
  <si>
    <t>Toàn bộ chỉ số của A và B; thêm so sánh tổng thời gian xử lý với hai mô hình riêng.</t>
  </si>
  <si>
    <t>Điểm thuận lợi</t>
  </si>
  <si>
    <t>Có trọng số dùng ngay, xuất Core ML dễ, kết quả dễ thấy trên video. Phù hợp làm bản chính.</t>
  </si>
  <si>
    <t>Mô hình rất nhẹ; tác giả là nhóm nghiên cứu Việt Nam, dễ liên hệ hỏi thêm (cần xác minh).</t>
  </si>
  <si>
    <t>Một mô hình cho nhiều việc; phần so sánh có nội dung học thuật rõ.</t>
  </si>
  <si>
    <t>Phần khó</t>
  </si>
  <si>
    <t>Ước lượng khoảng cách bằng một camera chỉ gần đúng; cần tracking để cảnh báo không nhấp nháy. iPhone 8 chỉ có 2 GB RAM, pin thường đã chai, dễ nóng khi vừa quay vừa chạy AI.</t>
  </si>
  <si>
    <t>Đường VN nhiều chỗ vạch mờ hoặc không có vạch; iPhone không biết xe có bật xi-nhan không.</t>
  </si>
  <si>
    <t>Chuyển sang Core ML khó hơn; tốn tài nguyên nhất; gán nhãn tập test VN tốn công; rủi ro cao trên iPhone 8.</t>
  </si>
  <si>
    <t>Giới hạn</t>
  </si>
  <si>
    <t>App hỗ trợ cảnh báo, không thay thế sự chú ý của người lái. Không chạy ở nền (giới hạn iOS). iPhone 8 chỉ lên tối đa iOS 16, nên app không dùng API từ iOS 17 trở lên.</t>
  </si>
  <si>
    <t>Chỉ cảnh báo, không điều khiển xe. Kết quả phụ thuộc góc gắn điện thoại. Cùng giới hạn iOS 16 như A.</t>
  </si>
  <si>
    <t>Như A và B; nhiều khả năng không đạt thời gian thực trên iPhone 8.</t>
  </si>
  <si>
    <t>Bài báo / xếp hạng</t>
  </si>
  <si>
    <t>YOLO11 chủ yếu có tài liệu của Ultralytics, không có bài báo chính thức. Nên trích thêm bài về FCW/TTC.</t>
  </si>
  <si>
    <t>Có bản arXiv 2023. Chưa xác minh nơi đăng và xếp hạng.</t>
  </si>
  <si>
    <t>Có bản arXiv 2021. Chưa xác minh nơi đăng và xếp hạng Q1.</t>
  </si>
  <si>
    <t>Phù hợp khi</t>
  </si>
  <si>
    <t>Muốn có sản phẩm chạy được sớm trên cả máy cũ, tập trung vào app iOS, tối ưu và đo hiệu năng.</t>
  </si>
  <si>
    <t>Muốn làm phân đoạn ảnh, cần mô hình nhẹ nhất cho iPhone 8 và chấp nhận rủi ro ở đường không có vạch.</t>
  </si>
  <si>
    <t>Muốn phần so sánh nặng hơn và chấp nhận có thể không hỗ trợ iPhone 8.</t>
  </si>
  <si>
    <t xml:space="preserve">Quyết định</t>
  </si>
  <si>
    <t>Chưa chọn</t>
  </si>
  <si>
    <t>Thử trước khi chốt</t>
  </si>
  <si>
    <t>Xuất YOLO11n sang Core ML (target iOS 16), chạy trên iPhone 8 liên tục 30 phút ở 320 và 416 pixel, ghi FPS và nhiệt độ máy.</t>
  </si>
  <si>
    <t>Tải trọng số, chạy một video đường VN trên máy tính, chuyển Core ML và đo trên iPhone 8.</t>
  </si>
  <si>
    <t>Tải trọng số, chạy một video trên máy tính, chuyển Core ML, đo trên iPhone 8 và một máy đời mới.</t>
  </si>
  <si>
    <t>Nguồn đối chiếu</t>
  </si>
  <si>
    <t>YOLO11n</t>
  </si>
  <si>
    <t>TwinLiteNet</t>
  </si>
  <si>
    <t>YOLOP</t>
  </si>
  <si>
    <t>Paper / tài liệu</t>
  </si>
  <si>
    <t>Dataset</t>
  </si>
  <si>
    <t>Source code</t>
  </si>
  <si>
    <t>Trọng số / Core ML</t>
  </si>
  <si>
    <t>CÁC VIỆC CẦN LÀM</t>
  </si>
  <si>
    <t>Mã</t>
  </si>
  <si>
    <t>Giai đoạn</t>
  </si>
  <si>
    <t>Việc cần làm</t>
  </si>
  <si>
    <t>Phụ trách</t>
  </si>
  <si>
    <t>Kết quả cần có</t>
  </si>
  <si>
    <t>Khi nào xong?</t>
  </si>
  <si>
    <t>Làm sau</t>
  </si>
  <si>
    <t>Trạng thái</t>
  </si>
  <si>
    <t>Ghi chú</t>
  </si>
  <si>
    <t>CV01</t>
  </si>
  <si>
    <t>Chốt yêu cầu</t>
  </si>
  <si>
    <t>Hỏi rõ yêu cầu của thầy</t>
  </si>
  <si>
    <t>Cả nhóm</t>
  </si>
  <si>
    <t>Ghi lại yêu cầu về thuật toán, thiết bị (iPhone có được tính là thiết bị biên không), báo cáo và demo.</t>
  </si>
  <si>
    <t>Biết rõ phải làm và nộp những gì.</t>
  </si>
  <si>
    <t>Đang làm</t>
  </si>
  <si>
    <t>Nếu bắt buộc Pi/Jetson thì phải xem lại hướng iOS.</t>
  </si>
  <si>
    <t>CV02</t>
  </si>
  <si>
    <t>Chọn phương án</t>
  </si>
  <si>
    <t>Chọn phương án A/B/C</t>
  </si>
  <si>
    <t>Chọn một phương án chính và một phương án dự phòng.</t>
  </si>
  <si>
    <t>Thống nhất bài toán và phạm vi làm.</t>
  </si>
  <si>
    <t>Xem sheet So sánh đề tài.</t>
  </si>
  <si>
    <t>CV03</t>
  </si>
  <si>
    <t>Nguồn lực</t>
  </si>
  <si>
    <t>Chuẩn bị iPhone và phụ kiện</t>
  </si>
  <si>
    <t>Khôi</t>
  </si>
  <si>
    <t>Có iPhone 8 (máy tối thiểu) và một máy đời mới để so sánh; giá gắn kính lái, sạc ô tô; chi phí và chỗ mượn/mua.</t>
  </si>
  <si>
    <t>Có iPhone gắn cố định được trên xe.</t>
  </si>
  <si>
    <t>Chưa bắt đầu</t>
  </si>
  <si>
    <t>Kiểm tra độ chai pin của iPhone 8; pin yếu làm số đo nhiệt và pin bị lệch.</t>
  </si>
  <si>
    <t>CV04</t>
  </si>
  <si>
    <t>Chuẩn bị Mac và tài khoản Apple</t>
  </si>
  <si>
    <t>Huy</t>
  </si>
  <si>
    <t>Mac có Xcode; Apple ID để cài app lên máy thật; đặt deployment target là iOS 16.</t>
  </si>
  <si>
    <t>Cài được app mẫu lên iPhone.</t>
  </si>
  <si>
    <t>iPhone 8 chỉ lên tối đa iOS 16: không dùng SwiftData, @Observable và API iOS 17+. Kiểm tra Xcode hiện tại còn cài được app lên iOS 16.</t>
  </si>
  <si>
    <t>CV01</t>
  </si>
  <si>
    <t>Chuẩn bị máy train</t>
  </si>
  <si>
    <t>Yến</t>
  </si>
  <si>
    <t>Kiểm tra GPU, bộ nhớ và phần mềm cần cài.</t>
  </si>
  <si>
    <t>Chạy thử được một lượt train nhỏ.</t>
  </si>
  <si>
    <t>Mac Apple Silicon train nhỏ được; train đầy đủ nên dùng GPU NVIDIA hoặc Colab.</t>
  </si>
  <si>
    <t>CV02</t>
  </si>
  <si>
    <t>Tài nguyên</t>
  </si>
  <si>
    <t>Tải và xem dữ liệu BDD100K</t>
  </si>
  <si>
    <t>Có ảnh, nhãn, link nguồn và điều khoản sử dụng.</t>
  </si>
  <si>
    <t>Mở được ảnh, nhãn khớp và được phép dùng cho đồ án.</t>
  </si>
  <si>
    <t>Cần đăng ký tài khoản để tải.</t>
  </si>
  <si>
    <t>CV03</t>
  </si>
  <si>
    <t>Tái lập</t>
  </si>
  <si>
    <t>Cài code mô hình</t>
  </si>
  <si>
    <t>Lưu các bước cài và phiên bản Python, PyTorch, Ultralytics, coremltools.</t>
  </si>
  <si>
    <t>Chạy được code mẫu.</t>
  </si>
  <si>
    <t>CV04</t>
  </si>
  <si>
    <t>Chạy thử trên video</t>
  </si>
  <si>
    <t>Dùng trọng số có sẵn chạy một video dashcam trên máy tính.</t>
  </si>
  <si>
    <t>Có video kết quả với khung hoặc vùng dự đoán.</t>
  </si>
  <si>
    <t>CV02, CV03</t>
  </si>
  <si>
    <t>Dùng cả video BDD100K và một video đường VN.</t>
  </si>
  <si>
    <t>CV05</t>
  </si>
  <si>
    <t>Thử mô hình trên iPhone 8</t>
  </si>
  <si>
    <t>Xuất Core ML; app mẫu mở camera, chạy mô hình, vẽ kết quả; chạy liên tục 30 phút trên iPhone 8.</t>
  </si>
  <si>
    <t>Biết FPS trên máy yếu nhất và máy có bị quá nóng không.</t>
  </si>
  <si>
    <t>CV04, CV04</t>
  </si>
  <si>
    <t>Bước kiểm tra khả thi quan trọng nhất.</t>
  </si>
  <si>
    <t>CV10</t>
  </si>
  <si>
    <t>Mốc quyết định</t>
  </si>
  <si>
    <t>Chốt phạm vi làm</t>
  </si>
  <si>
    <t>Xem lại dữ liệu, code và kết quả chạy trên iPhone.</t>
  </si>
  <si>
    <t>Chốt được phương án làm thực tế.</t>
  </si>
  <si>
    <t>CV03, CV05</t>
  </si>
  <si>
    <t>CV11</t>
  </si>
  <si>
    <t>Thiết kế</t>
  </si>
  <si>
    <t>Viết đề cương</t>
  </si>
  <si>
    <t>Nêu mục tiêu, đầu vào, đầu ra, luật cảnh báo và cách đánh giá; ghi rõ máy tối thiểu là iPhone 8.</t>
  </si>
  <si>
    <t xml:space="preserve">Mô tả rõ sẽ làm gì.</t>
  </si>
  <si>
    <t>CV06</t>
  </si>
  <si>
    <t>Tổ chức</t>
  </si>
  <si>
    <t>Lưu code và kết quả</t>
  </si>
  <si>
    <t>Repo chung gồm phần Python và app iOS; lưu cấu hình và ghi lại thay đổi.</t>
  </si>
  <si>
    <t>Tìm lại được code, trọng số và kết quả từng lần chạy.</t>
  </si>
  <si>
    <t>Không đưa video và dữ liệu lớn vào Git.</t>
  </si>
  <si>
    <t>CV07</t>
  </si>
  <si>
    <t>Quay video thực tế ở Việt Nam</t>
  </si>
  <si>
    <t>Video ban ngày, ban đêm, trời mưa; đường đông xe máy và đường lớn.</t>
  </si>
  <si>
    <t>Có đủ video để làm tập test riêng.</t>
  </si>
  <si>
    <t>CV03, CV11</t>
  </si>
  <si>
    <t>Gắn máy cố định trước khi chạy; người lái không thao tác điện thoại.</t>
  </si>
  <si>
    <t>CV08</t>
  </si>
  <si>
    <t>Kiểm tra và gán nhãn</t>
  </si>
  <si>
    <t>Trích khung hình, gán nhãn, loại ảnh trùng hoặc quá mờ.</t>
  </si>
  <si>
    <t>Ghi rõ số ảnh, cách gán nhãn và ảnh bị loại.</t>
  </si>
  <si>
    <t>CV02, CV07</t>
  </si>
  <si>
    <t>Làm mờ biển số và khuôn mặt nếu công khai dữ liệu.</t>
  </si>
  <si>
    <t>CV09</t>
  </si>
  <si>
    <t>Chia dữ liệu</t>
  </si>
  <si>
    <t>Tách train, validation, test cố định theo từng video/chuyến đi.</t>
  </si>
  <si>
    <t>Không có khung hình cùng một video nằm ở nhiều tập.</t>
  </si>
  <si>
    <t>CV16</t>
  </si>
  <si>
    <t>Thuật toán</t>
  </si>
  <si>
    <t>Tìm hiểu thuật toán</t>
  </si>
  <si>
    <t>Vẽ sơ đồ mô hình, tracking, cách tính khoảng cách/TTC hoặc lệch làn.</t>
  </si>
  <si>
    <t>Giải thích được các bước từ ảnh đến cảnh báo.</t>
  </si>
  <si>
    <t>CV10</t>
  </si>
  <si>
    <t>Thực nghiệm</t>
  </si>
  <si>
    <t>Lên các thử nghiệm</t>
  </si>
  <si>
    <t>Chọn kích thước ảnh (320/416/640) và một phần mở rộng.</t>
  </si>
  <si>
    <t>Biết cần chạy gì và so sánh bằng chỉ số nào.</t>
  </si>
  <si>
    <t>CV05, CV11, CV09</t>
  </si>
  <si>
    <t>CV11</t>
  </si>
  <si>
    <t>Mô hình nền</t>
  </si>
  <si>
    <t>Đánh giá trọng số có sẵn</t>
  </si>
  <si>
    <t>Đo trọng số gốc trên tập test VN; lưu cấu hình.</t>
  </si>
  <si>
    <t>Có kết quả tự chạy để làm mốc so sánh.</t>
  </si>
  <si>
    <t>CV12</t>
  </si>
  <si>
    <t>Huấn luyện</t>
  </si>
  <si>
    <t>Fine-tune trên dữ liệu</t>
  </si>
  <si>
    <t>Train lại với BDD100K và dữ liệu VN; lưu cấu hình và trọng số.</t>
  </si>
  <si>
    <t>Có bảng so sánh với mô hình nền trên cùng tập test.</t>
  </si>
  <si>
    <t>CV13</t>
  </si>
  <si>
    <t>Viết logic cảnh báo bằng Python</t>
  </si>
  <si>
    <t>Tracking, TTC hoặc lệch làn, ngưỡng cảnh báo và thời gian chờ giữa hai lần cảnh báo; chạy trên video.</t>
  </si>
  <si>
    <t>Video debug hiện cảnh báo đúng lúc.</t>
  </si>
  <si>
    <t>CV16, CV11</t>
  </si>
  <si>
    <t>Để ngưỡng trong file cấu hình, không viết cứng.</t>
  </si>
  <si>
    <t>CV14</t>
  </si>
  <si>
    <t>Chuyển đổi</t>
  </si>
  <si>
    <t>Xuất Core ML và kiểm tra</t>
  </si>
  <si>
    <t>Xuất .mlpackage với target iOS 16 (FP16, thử nén trọng số INT8); so kết quả với PyTorch trên cùng ảnh.</t>
  </si>
  <si>
    <t>Sai lệch nhỏ; biết mô hình chạy GPU hay CPU trên iPhone 8, ANE trên máy mới.</t>
  </si>
  <si>
    <t>Xem Core ML Performance Report trong Xcode.</t>
  </si>
  <si>
    <t>CV22</t>
  </si>
  <si>
    <t>App iOS</t>
  </si>
  <si>
    <t>Camera và quay vòng video</t>
  </si>
  <si>
    <t>Ghi video 1080p30 theo đoạn, xoá đoạn cũ khi đầy, khoá đoạn khi có va chạm (G-sensor).</t>
  </si>
  <si>
    <t>Quay 1 giờ không mất đoạn, không hỏng file.</t>
  </si>
  <si>
    <t>Không dùng 4K trên iPhone 8; chú ý giới hạn 2 GB RAM.</t>
  </si>
  <si>
    <t>CV23</t>
  </si>
  <si>
    <t>Luồng chạy mô hình</t>
  </si>
  <si>
    <t>Tách luồng AI khỏi luồng ghi video; chọn kích thước ảnh và FPS theo đời máy; giảm FPS khi máy nóng.</t>
  </si>
  <si>
    <t>Video không rớt khung khi AI chạy, kể cả trên iPhone 8.</t>
  </si>
  <si>
    <t>CV14, CV22</t>
  </si>
  <si>
    <t>CV24</t>
  </si>
  <si>
    <t>Chuyển logic cảnh báo sang Swift</t>
  </si>
  <si>
    <t>Viết lại logic Python bằng Swift; test bằng file JSON xuất từ Python.</t>
  </si>
  <si>
    <t>Kết quả Swift khớp Python trên cùng dữ liệu.</t>
  </si>
  <si>
    <t>CV13, CV23</t>
  </si>
  <si>
    <t>CV25</t>
  </si>
  <si>
    <t>Giao diện</t>
  </si>
  <si>
    <t>Làm giao diện SwiftUI</t>
  </si>
  <si>
    <t>Màn hình lái xe, cảnh báo âm thanh/rung, danh sách chuyến, xem lại clip.</t>
  </si>
  <si>
    <t>Xem được kết quả thật từ mô hình.</t>
  </si>
  <si>
    <t>Giao diện lái xe tối giản, không bắt người lái chạm màn hình.</t>
  </si>
  <si>
    <t>CV15</t>
  </si>
  <si>
    <t>Mở rộng</t>
  </si>
  <si>
    <t>Thử điều kiện khó</t>
  </si>
  <si>
    <t>So kết quả ban đêm, trời mưa, ngược sáng; chọn một hướng.</t>
  </si>
  <si>
    <t>Có số liệu cho thấy điều kiện ảnh hưởng thế nào.</t>
  </si>
  <si>
    <t>CV27</t>
  </si>
  <si>
    <t>Đo hiệu năng</t>
  </si>
  <si>
    <t>Đo tốc độ, nhiệt độ và pin</t>
  </si>
  <si>
    <t>Ghi thời gian xử lý, FPS, RAM, trạng thái nhiệt và % pin mỗi giờ trên iPhone 8 và một máy đời mới.</t>
  </si>
  <si>
    <t>Nêu rõ đời máy, phiên bản iOS, kích thước ảnh và cách đo.</t>
  </si>
  <si>
    <t>CV23, CV25</t>
  </si>
  <si>
    <t>Đo khi đang sạc và gắn trên xe thật.</t>
  </si>
  <si>
    <t>CV28</t>
  </si>
  <si>
    <t>Thử thực tế</t>
  </si>
  <si>
    <t>Chạy thử trên xe</t>
  </si>
  <si>
    <t>Chạy các tuyến cố định; đếm cảnh báo đúng, sai và bỏ sót.</t>
  </si>
  <si>
    <t>Có số cảnh báo sai mỗi giờ lái.</t>
  </si>
  <si>
    <t>CV25, CV27</t>
  </si>
  <si>
    <t>Chỉ để thử nghiệm, không dựa vào app khi lái.</t>
  </si>
  <si>
    <t>CV16</t>
  </si>
  <si>
    <t>Phân tích</t>
  </si>
  <si>
    <t>Phân tích kết quả</t>
  </si>
  <si>
    <t>Xem các ca dự đoán sai; so chất lượng và tốc độ giữa các cấu hình.</t>
  </si>
  <si>
    <t>Giải thích được ưu điểm và hạn chế bằng số liệu.</t>
  </si>
  <si>
    <t>CV15, CV28</t>
  </si>
  <si>
    <t>CV30</t>
  </si>
  <si>
    <t>Báo cáo</t>
  </si>
  <si>
    <t>Viết báo cáo</t>
  </si>
  <si>
    <t>Trình bày bài toán, thuật toán, dữ liệu, app và thực nghiệm.</t>
  </si>
  <si>
    <t xml:space="preserve">Đúng yêu cầu của thầy, trích nguồn và tách số liệu tự đo.</t>
  </si>
  <si>
    <t>CV11, CV16</t>
  </si>
  <si>
    <t>CV31</t>
  </si>
  <si>
    <t>Hoàn thiện</t>
  </si>
  <si>
    <t>Kiểm tra demo</t>
  </si>
  <si>
    <t>Thử toàn bộ luồng trên iPhone 8: ban ngày, ban đêm, mất GPS, bộ nhớ gần đầy, máy nóng.</t>
  </si>
  <si>
    <t>Demo chạy ổn, có thông báo khi gặp lỗi.</t>
  </si>
  <si>
    <t>CV32</t>
  </si>
  <si>
    <t>Viết hướng dẫn chạy</t>
  </si>
  <si>
    <t>Ghi cách cài, tải dữ liệu, train, xuất Core ML và build app.</t>
  </si>
  <si>
    <t>Cài lại từ đầu vẫn chạy được kết quả chính.</t>
  </si>
  <si>
    <t>CV16, CV31</t>
  </si>
  <si>
    <t>CV33</t>
  </si>
  <si>
    <t>Trình bày</t>
  </si>
  <si>
    <t>Chuẩn bị slide và video</t>
  </si>
  <si>
    <t>Tóm tắt cách làm, kết quả; quay video demo trên xe làm dự phòng.</t>
  </si>
  <si>
    <t>Slide rõ ý, video cho thấy app chạy thật.</t>
  </si>
  <si>
    <t>CV34</t>
  </si>
  <si>
    <t>Bảo vệ</t>
  </si>
  <si>
    <t>Tập trình bày</t>
  </si>
  <si>
    <t>Tập giải thích thuật toán, dữ liệu, chỉ số, Core ML và giới hạn của iOS.</t>
  </si>
  <si>
    <t>Trả lời được các câu hỏi chính về đồ án.</t>
  </si>
  <si>
    <t>CV30, CV33</t>
  </si>
  <si>
    <t>CV35</t>
  </si>
  <si>
    <t>Nộp bài</t>
  </si>
  <si>
    <t>Kiểm tra và nộp bài</t>
  </si>
  <si>
    <t>Kiểm tra báo cáo, slide, repo, bản cài app và hạn nộp.</t>
  </si>
  <si>
    <t>Đủ tệp, link mở được và đã nộp đúng nơi.</t>
  </si>
  <si>
    <t>CV32, CV34</t>
  </si>
  <si>
    <t>Giá trị cho người dùng</t>
  </si>
  <si>
    <t>Được nhắc bằng âm thanh và rung khi xe phía trước phanh gấp hoặc bám quá sát (kể cả xe máy chen ngang), giảm nguy cơ tông đuôi. Chạy được từ iPhone 8 nên dùng lại máy cũ thay cho mua dashcam có ADAS. Phát hiện xe còn là nền cho nhận diện biển số và báo cáo sự cố (bản mở rộng), giúp không mất bằng chứng.</t>
  </si>
  <si>
    <t>Được nhắc khi xe trôi khỏi làn do mất tập trung hoặc buồn ngủ trên đường dài, cao tốc. Mô hình rất nhẹ nên chạy mượt trên iPhone 8, ít nóng máy và hao pin. Giá trị giảm ở đường Việt Nam vạch mờ, không có vạch hoặc phố đông xe máy; hợp nhất với người hay đi cao tốc, quốc lộ.</t>
  </si>
  <si>
    <t>Có cả cảnh báo va chạm và lệch làn trong một app, chỉ một lần chạy mô hình. Nhưng khó đạt thời gian thực trên iPhone 8, nên người dùng máy cũ có thể không dùng được (mất điểm mạnh "dùng lại iPhone cũ"). Giá trị thực tế chủ yếu cho máy từ A12 (iPhone XR/XS) trở lên.</t>
  </si>
  <si>
    <t xml:space="preserve">Ưu tiên</t>
  </si>
  <si>
    <t xml:space="preserve">Dự phòng</t>
  </si>
  <si>
    <t xml:space="preserve">Không chọn</t>
  </si>
  <si>
    <t xml:space="preserve">Hoàn thành</t>
  </si>
  <si>
    <t xml:space="preserve">Giai đoạn sản phẩm, sau bản demo. Không dùng 4K trên iPhone 8; chú ý giới hạn 2 GB RAM.</t>
  </si>
  <si>
    <t xml:space="preserve">Giai đoạn sản phẩm, sau bản demo.</t>
  </si>
  <si>
    <t xml:space="preserve">Giai đoạn sản phẩm, sau bản demo. Giao diện lái xe tối giản, không bắt người lái chạm màn hình.</t>
  </si>
  <si>
    <t xml:space="preserve">CV05, CV09</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</si>
</sst>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0_);_(* \(#,##0\);_(* &quot;-&quot;_);_(@_)"/>
    <numFmt numFmtId="42" formatCode="_(&quot;$&quot;* #,##0_);_(&quot;$&quot;* \(#,##0\);_(&quot;$&quot;* &quot;-&quot;_);_(@_)"/>
    <numFmt numFmtId="43" formatCode="_(* #,##0.00_);_(* \(#,##0.00\);_(* &quot;-&quot;??_);_(@_)"/>
    <numFmt numFmtId="44" formatCode="_(&quot;$&quot;* #,##0.00_);_(&quot;$&quot;* \(#,##0.00\);_(&quot;$&quot;* &quot;-&quot;??_);_(@_)"/>
  </numFmts>
  <fonts count="29">
    <font>
      <sz val="11"/>
      <color rgb="FF000000"/>
      <name val="Calibri"/>
      <charset val="1"/>
    </font>
    <font>
      <sz val="11"/>
      <color rgb="FF243247"/>
      <name val="Arial"/>
      <charset val="1"/>
    </font>
    <font>
      <b/>
      <sz val="16"/>
      <color rgb="FF243247"/>
      <name val="Arial"/>
      <charset val="1"/>
    </font>
    <font>
      <b/>
      <sz val="11"/>
      <color rgb="FFFFFFFF"/>
      <name val="Arial"/>
      <charset val="1"/>
    </font>
    <font>
      <sz val="11"/>
      <color rgb="FF434343"/>
      <name val="Arial"/>
      <charset val="1"/>
    </font>
    <font>
      <b/>
      <sz val="14"/>
      <color rgb="FF243247"/>
      <name val="Arial"/>
      <charset val="1"/>
    </font>
    <font>
      <b/>
      <sz val="11"/>
      <color rgb="FF243247"/>
      <name val="Arial"/>
      <charset val="1"/>
    </font>
    <font>
      <u/>
      <sz val="11"/>
      <color rgb="FF205CA5"/>
      <name val="Arial"/>
      <charset val="1"/>
    </font>
    <font>
      <sz val="10"/>
      <name val="Arial"/>
      <charset val="134"/>
    </font>
    <font>
      <u/>
      <sz val="11"/>
      <color rgb="FF0000FF"/>
      <name val="Carlito"/>
      <charset val="0"/>
      <scheme val="minor"/>
    </font>
    <font>
      <u/>
      <sz val="11"/>
      <color rgb="FF800080"/>
      <name val="Carlito"/>
      <charset val="0"/>
      <scheme val="minor"/>
    </font>
    <font>
      <sz val="11"/>
      <color theme="1"/>
      <name val="Carlito"/>
      <charset val="134"/>
      <scheme val="minor"/>
    </font>
    <font>
      <sz val="11"/>
      <color rgb="FFFF0000"/>
      <name val="Carlito"/>
      <charset val="0"/>
      <scheme val="minor"/>
    </font>
    <font>
      <b/>
      <sz val="18"/>
      <color theme="3"/>
      <name val="Carlito"/>
      <charset val="134"/>
      <scheme val="minor"/>
    </font>
    <font>
      <i/>
      <sz val="11"/>
      <color rgb="FF7F7F7F"/>
      <name val="Carlito"/>
      <charset val="0"/>
      <scheme val="minor"/>
    </font>
    <font>
      <b/>
      <sz val="15"/>
      <color theme="3"/>
      <name val="Carlito"/>
      <charset val="134"/>
      <scheme val="minor"/>
    </font>
    <font>
      <b/>
      <sz val="13"/>
      <color theme="3"/>
      <name val="Carlito"/>
      <charset val="134"/>
      <scheme val="minor"/>
    </font>
    <font>
      <b/>
      <sz val="11"/>
      <color theme="3"/>
      <name val="Carlito"/>
      <charset val="134"/>
      <scheme val="minor"/>
    </font>
    <font>
      <sz val="11"/>
      <color rgb="FF3F3F76"/>
      <name val="Carlito"/>
      <charset val="0"/>
      <scheme val="minor"/>
    </font>
    <font>
      <b/>
      <sz val="11"/>
      <color rgb="FF3F3F3F"/>
      <name val="Carlito"/>
      <charset val="0"/>
      <scheme val="minor"/>
    </font>
    <font>
      <b/>
      <sz val="11"/>
      <color rgb="FFFA7D00"/>
      <name val="Carlito"/>
      <charset val="0"/>
      <scheme val="minor"/>
    </font>
    <font>
      <b/>
      <sz val="11"/>
      <color rgb="FFFFFFFF"/>
      <name val="Carlito"/>
      <charset val="0"/>
      <scheme val="minor"/>
    </font>
    <font>
      <sz val="11"/>
      <color rgb="FFFA7D00"/>
      <name val="Carlito"/>
      <charset val="0"/>
      <scheme val="minor"/>
    </font>
    <font>
      <b/>
      <sz val="11"/>
      <color theme="1"/>
      <name val="Carlito"/>
      <charset val="0"/>
      <scheme val="minor"/>
    </font>
    <font>
      <sz val="11"/>
      <color rgb="FF006100"/>
      <name val="Carlito"/>
      <charset val="0"/>
      <scheme val="minor"/>
    </font>
    <font>
      <sz val="11"/>
      <color rgb="FF9C0006"/>
      <name val="Carlito"/>
      <charset val="0"/>
      <scheme val="minor"/>
    </font>
    <font>
      <sz val="11"/>
      <color rgb="FF9C6500"/>
      <name val="Carlito"/>
      <charset val="0"/>
      <scheme val="minor"/>
    </font>
    <font>
      <sz val="11"/>
      <color theme="0"/>
      <name val="Carlito"/>
      <charset val="0"/>
      <scheme val="minor"/>
    </font>
    <font>
      <sz val="11"/>
      <color theme="1"/>
      <name val="Carlito"/>
      <charset val="0"/>
      <scheme val="minor"/>
    </font>
  </fonts>
  <fills count="35">
    <fill>
      <patternFill patternType="none"/>
    </fill>
    <fill>
      <patternFill patternType="gray125"/>
    </fill>
    <fill>
      <patternFill patternType="solid">
        <fgColor rgb="FFFFFFFF"/>
        <bgColor rgb="FFFCE4D6"/>
      </patternFill>
    </fill>
    <fill>
      <patternFill patternType="solid">
        <fgColor rgb="FF38761D"/>
        <bgColor rgb="FF339966"/>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8" fillId="0" borderId="0" applyBorder="0" applyAlignment="0" applyProtection="0"/>
    <xf numFmtId="44" fontId="8" fillId="0" borderId="0" applyBorder="0" applyAlignment="0" applyProtection="0"/>
    <xf numFmtId="9" fontId="8" fillId="0" borderId="0" applyBorder="0" applyAlignment="0" applyProtection="0"/>
    <xf numFmtId="41" fontId="8" fillId="0" borderId="0" applyBorder="0" applyAlignment="0" applyProtection="0"/>
    <xf numFmtId="42" fontId="8" fillId="0" borderId="0" applyBorder="0" applyAlignment="0" applyProtection="0"/>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1" fillId="4"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5" borderId="4" applyNumberFormat="0" applyAlignment="0" applyProtection="0">
      <alignment vertical="center"/>
    </xf>
    <xf numFmtId="0" fontId="19" fillId="6" borderId="5" applyNumberFormat="0" applyAlignment="0" applyProtection="0">
      <alignment vertical="center"/>
    </xf>
    <xf numFmtId="0" fontId="20" fillId="6" borderId="4" applyNumberFormat="0" applyAlignment="0" applyProtection="0">
      <alignment vertical="center"/>
    </xf>
    <xf numFmtId="0" fontId="21" fillId="7"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8" borderId="0" applyNumberFormat="0" applyBorder="0" applyAlignment="0" applyProtection="0">
      <alignment vertical="center"/>
    </xf>
    <xf numFmtId="0" fontId="25" fillId="9" borderId="0" applyNumberFormat="0" applyBorder="0" applyAlignment="0" applyProtection="0">
      <alignment vertical="center"/>
    </xf>
    <xf numFmtId="0" fontId="26" fillId="10" borderId="0" applyNumberFormat="0" applyBorder="0" applyAlignment="0" applyProtection="0">
      <alignment vertical="center"/>
    </xf>
    <xf numFmtId="0" fontId="27" fillId="11" borderId="0" applyNumberFormat="0" applyBorder="0" applyAlignment="0" applyProtection="0">
      <alignment vertical="center"/>
    </xf>
    <xf numFmtId="0" fontId="28" fillId="12" borderId="0" applyNumberFormat="0" applyBorder="0" applyAlignment="0" applyProtection="0">
      <alignment vertical="center"/>
    </xf>
    <xf numFmtId="0" fontId="28" fillId="13" borderId="0" applyNumberFormat="0" applyBorder="0" applyAlignment="0" applyProtection="0">
      <alignment vertical="center"/>
    </xf>
    <xf numFmtId="0" fontId="27" fillId="14" borderId="0" applyNumberFormat="0" applyBorder="0" applyAlignment="0" applyProtection="0">
      <alignment vertical="center"/>
    </xf>
    <xf numFmtId="0" fontId="27" fillId="15" borderId="0" applyNumberFormat="0" applyBorder="0" applyAlignment="0" applyProtection="0">
      <alignment vertical="center"/>
    </xf>
    <xf numFmtId="0" fontId="28" fillId="16" borderId="0" applyNumberFormat="0" applyBorder="0" applyAlignment="0" applyProtection="0">
      <alignment vertical="center"/>
    </xf>
    <xf numFmtId="0" fontId="28" fillId="17" borderId="0" applyNumberFormat="0" applyBorder="0" applyAlignment="0" applyProtection="0">
      <alignment vertical="center"/>
    </xf>
    <xf numFmtId="0" fontId="27" fillId="18" borderId="0" applyNumberFormat="0" applyBorder="0" applyAlignment="0" applyProtection="0">
      <alignment vertical="center"/>
    </xf>
    <xf numFmtId="0" fontId="27" fillId="19" borderId="0" applyNumberFormat="0" applyBorder="0" applyAlignment="0" applyProtection="0">
      <alignment vertical="center"/>
    </xf>
    <xf numFmtId="0" fontId="28" fillId="20" borderId="0" applyNumberFormat="0" applyBorder="0" applyAlignment="0" applyProtection="0">
      <alignment vertical="center"/>
    </xf>
    <xf numFmtId="0" fontId="28" fillId="21" borderId="0" applyNumberFormat="0" applyBorder="0" applyAlignment="0" applyProtection="0">
      <alignment vertical="center"/>
    </xf>
    <xf numFmtId="0" fontId="27" fillId="22" borderId="0" applyNumberFormat="0" applyBorder="0" applyAlignment="0" applyProtection="0">
      <alignment vertical="center"/>
    </xf>
    <xf numFmtId="0" fontId="27" fillId="23" borderId="0" applyNumberFormat="0" applyBorder="0" applyAlignment="0" applyProtection="0">
      <alignment vertical="center"/>
    </xf>
    <xf numFmtId="0" fontId="28" fillId="24" borderId="0" applyNumberFormat="0" applyBorder="0" applyAlignment="0" applyProtection="0">
      <alignment vertical="center"/>
    </xf>
    <xf numFmtId="0" fontId="28"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28" fillId="28" borderId="0" applyNumberFormat="0" applyBorder="0" applyAlignment="0" applyProtection="0">
      <alignment vertical="center"/>
    </xf>
    <xf numFmtId="0" fontId="28" fillId="29" borderId="0" applyNumberFormat="0" applyBorder="0" applyAlignment="0" applyProtection="0">
      <alignment vertical="center"/>
    </xf>
    <xf numFmtId="0" fontId="27" fillId="30" borderId="0" applyNumberFormat="0" applyBorder="0" applyAlignment="0" applyProtection="0">
      <alignment vertical="center"/>
    </xf>
    <xf numFmtId="0" fontId="27" fillId="31" borderId="0" applyNumberFormat="0" applyBorder="0" applyAlignment="0" applyProtection="0">
      <alignment vertical="center"/>
    </xf>
    <xf numFmtId="0" fontId="28" fillId="32" borderId="0" applyNumberFormat="0" applyBorder="0" applyAlignment="0" applyProtection="0">
      <alignment vertical="center"/>
    </xf>
    <xf numFmtId="0" fontId="28" fillId="33" borderId="0" applyNumberFormat="0" applyBorder="0" applyAlignment="0" applyProtection="0">
      <alignment vertical="center"/>
    </xf>
    <xf numFmtId="0" fontId="27" fillId="34" borderId="0" applyNumberFormat="0" applyBorder="0" applyAlignment="0" applyProtection="0">
      <alignment vertical="center"/>
    </xf>
  </cellStyleXfs>
  <cellXfs count="11">
    <xf numFmtId="0" fontId="0" fillId="0" borderId="0" xfId="0"/>
    <xf numFmtId="0" fontId="1" fillId="0" borderId="0" xfId="0" applyFont="1" applyAlignment="1">
      <alignment vertical="top" wrapText="1"/>
    </xf>
    <xf numFmtId="0" fontId="2" fillId="0" borderId="0" xfId="0" applyFont="1" applyAlignment="1">
      <alignment vertical="top" wrapText="1"/>
    </xf>
    <xf numFmtId="0" fontId="1" fillId="2" borderId="0" xfId="0" applyFont="1" applyFill="1" applyAlignment="1">
      <alignment vertical="top" wrapText="1"/>
    </xf>
    <xf numFmtId="0" fontId="3" fillId="3" borderId="0" xfId="0" applyFont="1" applyFill="1" applyAlignment="1">
      <alignment horizontal="center" vertical="center" wrapText="1"/>
    </xf>
    <xf numFmtId="49" fontId="3" fillId="3" borderId="0" xfId="0" applyNumberFormat="1" applyFont="1" applyFill="1" applyAlignment="1">
      <alignment horizontal="center" vertical="center" wrapText="1"/>
    </xf>
    <xf numFmtId="0" fontId="4" fillId="2" borderId="0" xfId="0" applyFont="1" applyFill="1" applyAlignment="1">
      <alignment vertical="top" wrapText="1"/>
    </xf>
    <xf numFmtId="0" fontId="5" fillId="0" borderId="0" xfId="0" applyFont="1" applyAlignment="1">
      <alignment vertical="top" wrapText="1"/>
    </xf>
    <xf numFmtId="0" fontId="6" fillId="2" borderId="0" xfId="0" applyFont="1" applyFill="1" applyAlignment="1">
      <alignment vertical="top" wrapText="1"/>
    </xf>
    <xf numFmtId="0" fontId="3" fillId="3" borderId="0" xfId="0" applyFont="1" applyFill="1" applyAlignment="1">
      <alignment vertical="top" wrapText="1"/>
    </xf>
    <xf numFmtId="0" fontId="7" fillId="2" borderId="0" xfId="0" applyFont="1" applyFill="1" applyAlignment="1">
      <alignment vertical="top" wrapText="1"/>
    </xf>
  </cellXfs>
  <cellStyles count="49">
    <cellStyle name="Normal" xfId="0" builtinId="0"/>
    <cellStyle name="Comma" xfId="1" builtinId="3"/>
    <cellStyle name="Currency" xfId="2" builtinId="4"/>
    <cellStyle name="Percent" xfId="3" builtinId="5"/>
    <cellStyle name="Comma [0]" xfId="4" builtinId="6"/>
    <cellStyle name="Currency [0]" xfId="5" builtinId="7"/>
    <cellStyle name="Link" xfId="6" builtinId="8"/>
    <cellStyle name="Followed Hyperlink" xfId="7" builtinId="9"/>
    <cellStyle name="Note" xfId="8" builtinId="10"/>
    <cellStyle name="Warning Text" xfId="9" builtinId="11"/>
    <cellStyle name="Title" xfId="10" builtinId="15"/>
    <cellStyle name="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s>
  <dxfs count="18">
    <dxf>
      <font>
        <color rgb="FF9C2B17"/>
      </font>
      <fill>
        <patternFill patternType="solid">
          <bgColor rgb="FFFCE4D6"/>
        </patternFill>
      </fill>
    </dxf>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dxf>
    <dxf>
      <font>
        <b val="1"/>
        <color theme="1"/>
      </font>
    </dxf>
    <dxf>
      <font>
        <b val="1"/>
        <color theme="1"/>
      </font>
      <border>
        <top style="double">
          <color theme="4"/>
        </top>
      </border>
    </dxf>
    <dxf>
      <font>
        <b val="1"/>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75585192419"/>
        </horizontal>
      </border>
    </dxf>
    <dxf>
      <fill>
        <patternFill patternType="solid">
          <fgColor theme="4" tint="0.799981688894314"/>
          <bgColor theme="4" tint="0.799981688894314"/>
        </patternFill>
      </fill>
      <border>
        <bottom style="thin">
          <color theme="4" tint="0.399975585192419"/>
        </bottom>
      </border>
    </dxf>
    <dxf>
      <font>
        <b val="1"/>
      </font>
      <fill>
        <patternFill patternType="solid">
          <fgColor theme="4" tint="0.799981688894314"/>
          <bgColor theme="4" tint="0.799981688894314"/>
        </patternFill>
      </fill>
      <border>
        <bottom style="thin">
          <color theme="4" tint="0.399975585192419"/>
        </bottom>
      </border>
    </dxf>
    <dxf>
      <font>
        <color theme="1"/>
      </font>
    </dxf>
    <dxf>
      <font>
        <color theme="1"/>
      </font>
      <border>
        <bottom style="thin">
          <color theme="4" tint="0.399975585192419"/>
        </bottom>
      </border>
    </dxf>
    <dxf>
      <font>
        <b val="1"/>
        <color theme="1"/>
      </font>
    </dxf>
    <dxf>
      <font>
        <b val="1"/>
        <color theme="1"/>
      </font>
      <border>
        <top style="thin">
          <color theme="4"/>
        </top>
        <bottom style="thin">
          <color theme="4"/>
        </bottom>
      </border>
    </dxf>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fill>
        <patternFill patternType="solid">
          <fgColor theme="4" tint="0.799981688894314"/>
          <bgColor theme="4" tint="0.799981688894314"/>
        </patternFill>
      </fill>
      <border>
        <top style="thin">
          <color theme="4" tint="0.399975585192419"/>
        </top>
        <bottom style="thin">
          <color theme="4" tint="0.399975585192419"/>
        </bottom>
      </border>
    </dxf>
    <dxf>
      <font>
        <b val="1"/>
        <color theme="1"/>
      </font>
      <fill>
        <patternFill patternType="solid">
          <fgColor theme="4" tint="0.799981688894314"/>
          <bgColor theme="4" tint="0.799981688894314"/>
        </patternFill>
      </fill>
      <border>
        <bottom style="thin">
          <color theme="4" tint="0.399975585192419"/>
        </bottom>
      </border>
    </dxf>
  </dxfs>
  <tableStyles count="2" defaultTableStyle="TableStylePreset3_Accent1" defaultPivotStyle="PivotStylePreset2_Accent1">
    <tableStyle name="TableStylePreset3_Accent1" pivot="0" count="7" xr9:uid="{59DB682C-5494-4EDE-A608-00C9E5F0F923}">
      <tableStyleElement type="wholeTable" dxfId="7"/>
      <tableStyleElement type="headerRow" dxfId="6"/>
      <tableStyleElement type="totalRow" dxfId="5"/>
      <tableStyleElement type="firstColumn" dxfId="4"/>
      <tableStyleElement type="lastColumn" dxfId="3"/>
      <tableStyleElement type="firstRowStripe" dxfId="2"/>
      <tableStyleElement type="firstColumnStripe" dxfId="1"/>
    </tableStyle>
    <tableStyle name="PivotStylePreset2_Accent1" table="0" count="10" xr9:uid="{267968C8-6FFD-4C36-ACC1-9EA1FD1885CA}">
      <tableStyleElement type="headerRow" dxfId="17"/>
      <tableStyleElement type="totalRow" dxfId="16"/>
      <tableStyleElement type="firstRowStripe" dxfId="15"/>
      <tableStyleElement type="firstColumnStripe" dxfId="14"/>
      <tableStyleElement type="firstSubtotalRow" dxfId="13"/>
      <tableStyleElement type="secondSubtotalRow" dxfId="12"/>
      <tableStyleElement type="firstRowSubheading" dxfId="11"/>
      <tableStyleElement type="secondRowSubheading" dxfId="10"/>
      <tableStyleElement type="pageFieldLabels" dxfId="9"/>
      <tableStyleElement type="pageFieldValues" dxfId="8"/>
    </tableStyle>
  </tableStyles>
  <colors>
    <indexedColors>
      <rgbColor rgb="00000000"/>
      <rgbColor rgb="00FFFFFF"/>
      <rgbColor rgb="00FF0000"/>
      <rgbColor rgb="0000FF00"/>
      <rgbColor rgb="000000FF"/>
      <rgbColor rgb="00FFFF00"/>
      <rgbColor rgb="00FF00FF"/>
      <rgbColor rgb="0000FFFF"/>
      <rgbColor rgb="00800000"/>
      <rgbColor rgb="0038761D"/>
      <rgbColor rgb="00000080"/>
      <rgbColor rgb="00808000"/>
      <rgbColor rgb="00800080"/>
      <rgbColor rgb="00008080"/>
      <rgbColor rgb="00C0C0C0"/>
      <rgbColor rgb="00808080"/>
      <rgbColor rgb="009999FF"/>
      <rgbColor rgb="00993366"/>
      <rgbColor rgb="00FCE4D6"/>
      <rgbColor rgb="00CCFFFF"/>
      <rgbColor rgb="00660066"/>
      <rgbColor rgb="00FF8080"/>
      <rgbColor rgb="00205CA5"/>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203B61"/>
      <rgbColor rgb="00339966"/>
      <rgbColor rgb="00003300"/>
      <rgbColor rgb="00434343"/>
      <rgbColor rgb="009C2B17"/>
      <rgbColor rgb="00993366"/>
      <rgbColor rgb="00333399"/>
      <rgbColor rgb="00243247"/>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openxmlformats.org/officeDocument/2006/relationships/styles" Target="styles.xml"/><Relationship Id="rId4" Type="http://schemas.openxmlformats.org/officeDocument/2006/relationships/sharedStrings" Target="sharedString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tables/table1.xml><?xml version="1.0" encoding="utf-8"?>
<table xmlns="http://schemas.openxmlformats.org/spreadsheetml/2006/main" id="1" name="CongViec" displayName="CongViec" ref="A4:I20" totalsRowShown="0">
  <tableColumns count="9">
    <tableColumn id="1" name="Mã"/>
    <tableColumn id="2" name="Giai đoạn"/>
    <tableColumn id="3" name="Việc cần làm"/>
    <tableColumn id="4" name="Phụ trách"/>
    <tableColumn id="5" name="Kết quả cần có"/>
    <tableColumn id="6" name="Khi nào xong?"/>
    <tableColumn id="7" name="Làm sau"/>
    <tableColumn id="8" name="Trạng thái"/>
    <tableColumn id="9" name="Ghi chú"/>
  </tableColumns>
  <tableStyleInfo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tabColor rgb="FF203B61"/>
  </sheetPr>
  <dimension ref="A1:D1000"/>
  <sheetViews>
    <sheetView showGridLines="0" tabSelected="1" workbookViewId="0">
      <pane ySplit="4" topLeftCell="A14" activePane="bottomLeft" state="frozen"/>
      <selection/>
      <selection pane="bottomLeft" activeCell="B12" sqref="B12"/>
    </sheetView>
  </sheetViews>
  <sheetFormatPr defaultColWidth="12.6296296296296" defaultRowHeight="14.4" outlineLevelCol="3"/>
  <cols>
    <col min="1" max="1" width="23.75" customWidth="1"/>
    <col min="2" max="4" width="44.3796296296296" customWidth="1"/>
    <col min="5" max="26" width="8.62962962962963" customWidth="1"/>
  </cols>
  <sheetData>
    <row r="1" spans="1:4">
      <c r="A1" s="1"/>
      <c r="B1" s="1"/>
      <c r="C1" s="1"/>
      <c r="D1" s="1"/>
    </row>
    <row r="2" ht="30" customHeight="1" spans="1:4">
      <c r="A2" s="7" t="s">
        <v>0</v>
      </c>
      <c r="B2" s="1"/>
      <c r="C2" s="1"/>
      <c r="D2" s="1"/>
    </row>
    <row r="3" ht="33.75" customHeight="1" spans="1:4">
      <c r="A3" s="1"/>
      <c r="B3" s="1"/>
      <c r="C3" s="1" t="s">
        <v>1</v>
      </c>
      <c r="D3" s="1" t="s">
        <v>2</v>
      </c>
    </row>
    <row r="4" ht="31.5" customHeight="1" spans="1:4">
      <c r="A4" s="4" t="s">
        <v>3</v>
      </c>
      <c r="B4" s="4" t="s">
        <v>4</v>
      </c>
      <c r="C4" s="4" t="s">
        <v>5</v>
      </c>
      <c r="D4" s="4" t="s">
        <v>6</v>
      </c>
    </row>
    <row r="5" ht="55.5" customHeight="1" spans="1:4">
      <c r="A5" s="8" t="s">
        <v>7</v>
      </c>
      <c r="B5" s="3" t="s">
        <v>8</v>
      </c>
      <c r="C5" s="3" t="s">
        <v>9</v>
      </c>
      <c r="D5" s="3" t="s">
        <v>10</v>
      </c>
    </row>
    <row r="6" ht="55.5" customHeight="1" spans="1:4">
      <c r="A6" s="8" t="s">
        <v>11</v>
      </c>
      <c r="B6" s="3" t="s">
        <v>12</v>
      </c>
      <c r="C6" s="3" t="s">
        <v>13</v>
      </c>
      <c r="D6" s="3" t="s">
        <v>14</v>
      </c>
    </row>
    <row r="7" ht="55.5" customHeight="1" spans="1:4">
      <c r="A7" s="8" t="s">
        <v>15</v>
      </c>
      <c r="B7" s="3" t="s">
        <v>16</v>
      </c>
      <c r="C7" s="3" t="s">
        <v>17</v>
      </c>
      <c r="D7" s="3" t="s">
        <v>18</v>
      </c>
    </row>
    <row r="8" ht="99" customHeight="1" spans="1:4">
      <c r="A8" s="8" t="s">
        <v>309</v>
      </c>
      <c r="B8" s="3" t="s">
        <v>310</v>
      </c>
      <c r="C8" s="3" t="s">
        <v>311</v>
      </c>
      <c r="D8" s="3" t="s">
        <v>312</v>
      </c>
    </row>
    <row r="9" ht="55.5" customHeight="1" spans="1:4">
      <c r="A9" s="8" t="s">
        <v>19</v>
      </c>
      <c r="B9" s="3" t="s">
        <v>20</v>
      </c>
      <c r="C9" s="3" t="s">
        <v>21</v>
      </c>
      <c r="D9" s="3" t="s">
        <v>22</v>
      </c>
    </row>
    <row r="10" ht="55.5" customHeight="1" spans="1:4">
      <c r="A10" s="8" t="s">
        <v>23</v>
      </c>
      <c r="B10" s="3" t="s">
        <v>24</v>
      </c>
      <c r="C10" s="3" t="s">
        <v>25</v>
      </c>
      <c r="D10" s="3" t="s">
        <v>26</v>
      </c>
    </row>
    <row r="11" ht="55.5" customHeight="1" spans="1:4">
      <c r="A11" s="8" t="s">
        <v>27</v>
      </c>
      <c r="B11" s="3" t="s">
        <v>28</v>
      </c>
      <c r="C11" s="3" t="s">
        <v>29</v>
      </c>
      <c r="D11" s="3" t="s">
        <v>30</v>
      </c>
    </row>
    <row r="12" ht="55.5" customHeight="1" spans="1:4">
      <c r="A12" s="8" t="s">
        <v>31</v>
      </c>
      <c r="B12" s="3" t="s">
        <v>32</v>
      </c>
      <c r="C12" s="3" t="s">
        <v>33</v>
      </c>
      <c r="D12" s="3" t="s">
        <v>34</v>
      </c>
    </row>
    <row r="13" ht="55.5" customHeight="1" spans="1:4">
      <c r="A13" s="8" t="s">
        <v>35</v>
      </c>
      <c r="B13" s="3" t="s">
        <v>36</v>
      </c>
      <c r="C13" s="3" t="s">
        <v>37</v>
      </c>
      <c r="D13" s="3" t="s">
        <v>37</v>
      </c>
    </row>
    <row r="14" ht="55.5" customHeight="1" spans="1:4">
      <c r="A14" s="8" t="s">
        <v>38</v>
      </c>
      <c r="B14" s="3" t="s">
        <v>39</v>
      </c>
      <c r="C14" s="3" t="s">
        <v>40</v>
      </c>
      <c r="D14" s="3" t="s">
        <v>41</v>
      </c>
    </row>
    <row r="15" ht="55.5" customHeight="1" spans="1:4">
      <c r="A15" s="8" t="s">
        <v>42</v>
      </c>
      <c r="B15" s="3" t="s">
        <v>43</v>
      </c>
      <c r="C15" s="3" t="s">
        <v>44</v>
      </c>
      <c r="D15" s="3" t="s">
        <v>45</v>
      </c>
    </row>
    <row r="16" ht="82.5" customHeight="1" spans="1:4">
      <c r="A16" s="8" t="s">
        <v>46</v>
      </c>
      <c r="B16" s="3" t="s">
        <v>47</v>
      </c>
      <c r="C16" s="3" t="s">
        <v>48</v>
      </c>
      <c r="D16" s="3" t="s">
        <v>49</v>
      </c>
    </row>
    <row r="17" ht="55.5" customHeight="1" spans="1:4">
      <c r="A17" s="8" t="s">
        <v>50</v>
      </c>
      <c r="B17" s="3" t="s">
        <v>51</v>
      </c>
      <c r="C17" s="3" t="s">
        <v>52</v>
      </c>
      <c r="D17" s="3" t="s">
        <v>53</v>
      </c>
    </row>
    <row r="18" ht="55.5" customHeight="1" spans="1:4">
      <c r="A18" s="8" t="s">
        <v>54</v>
      </c>
      <c r="B18" s="3" t="s">
        <v>55</v>
      </c>
      <c r="C18" s="3" t="s">
        <v>56</v>
      </c>
      <c r="D18" s="3" t="s">
        <v>57</v>
      </c>
    </row>
    <row r="19" ht="55.5" customHeight="1" spans="1:4">
      <c r="A19" s="8" t="s">
        <v>58</v>
      </c>
      <c r="B19" s="3" t="s">
        <v>59</v>
      </c>
      <c r="C19" s="3" t="s">
        <v>60</v>
      </c>
      <c r="D19" s="3" t="s">
        <v>61</v>
      </c>
    </row>
    <row r="20" ht="55.5" customHeight="1" spans="1:4">
      <c r="A20" s="8" t="s">
        <v>62</v>
      </c>
      <c r="B20" s="3" t="s">
        <v>63</v>
      </c>
      <c r="C20" s="3" t="s">
        <v>64</v>
      </c>
      <c r="D20" s="3" t="s">
        <v>65</v>
      </c>
    </row>
    <row r="21" ht="67.5" customHeight="1" spans="1:4">
      <c r="A21" s="8" t="s">
        <v>66</v>
      </c>
      <c r="B21" s="3" t="s">
        <v>67</v>
      </c>
      <c r="C21" s="3" t="s">
        <v>68</v>
      </c>
      <c r="D21" s="3" t="s">
        <v>69</v>
      </c>
    </row>
    <row r="22" ht="67.5" customHeight="1" spans="1:4">
      <c r="A22" s="8" t="s">
        <v>70</v>
      </c>
      <c r="B22" s="3" t="s">
        <v>71</v>
      </c>
      <c r="C22" s="3" t="s">
        <v>72</v>
      </c>
      <c r="D22" s="3" t="s">
        <v>73</v>
      </c>
    </row>
    <row r="23" ht="55.5" customHeight="1" spans="1:4">
      <c r="A23" s="8" t="s">
        <v>74</v>
      </c>
      <c r="B23" s="3" t="s">
        <v>75</v>
      </c>
      <c r="C23" s="3" t="s">
        <v>76</v>
      </c>
      <c r="D23" s="3" t="s">
        <v>77</v>
      </c>
    </row>
    <row r="24" ht="55.5" customHeight="1" spans="1:4">
      <c r="A24" s="8" t="s">
        <v>78</v>
      </c>
      <c r="B24" s="3" t="s">
        <v>79</v>
      </c>
      <c r="C24" s="3" t="s">
        <v>80</v>
      </c>
      <c r="D24" s="3" t="s">
        <v>81</v>
      </c>
    </row>
    <row r="25" ht="55.5" customHeight="1" spans="1:4">
      <c r="A25" s="8" t="s">
        <v>82</v>
      </c>
      <c r="B25" s="3" t="s">
        <v>313</v>
      </c>
      <c r="C25" s="3" t="s">
        <v>314</v>
      </c>
      <c r="D25" s="3" t="s">
        <v>315</v>
      </c>
    </row>
    <row r="26" ht="55.5" customHeight="1" spans="1:4">
      <c r="A26" s="8" t="s">
        <v>84</v>
      </c>
      <c r="B26" s="3" t="s">
        <v>85</v>
      </c>
      <c r="C26" s="3" t="s">
        <v>86</v>
      </c>
      <c r="D26" s="3" t="s">
        <v>87</v>
      </c>
    </row>
    <row r="27" ht="75" customHeight="1" spans="1:4">
      <c r="A27" s="8"/>
      <c r="B27" s="3"/>
      <c r="C27" s="3"/>
      <c r="D27" s="3"/>
    </row>
    <row r="28" ht="15.75" customHeight="1" spans="1:4">
      <c r="A28" s="3"/>
      <c r="B28" s="3"/>
      <c r="C28" s="3"/>
      <c r="D28" s="3"/>
    </row>
    <row r="29" ht="25.5" customHeight="1" spans="1:4">
      <c r="A29" s="9" t="s">
        <v>88</v>
      </c>
      <c r="B29" s="9" t="s">
        <v>89</v>
      </c>
      <c r="C29" s="9" t="s">
        <v>90</v>
      </c>
      <c r="D29" s="9" t="s">
        <v>91</v>
      </c>
    </row>
    <row r="30" ht="27.75" customHeight="1" spans="1:4">
      <c r="A30" s="3" t="s">
        <v>92</v>
      </c>
      <c r="B30" s="10" t="str">
        <f>HYPERLINK("https://docs.ultralytics.com/models/yolo11/","Tài liệu YOLO11")</f>
        <v>Tài liệu YOLO11</v>
      </c>
      <c r="C30" s="10" t="str">
        <f>HYPERLINK("https://arxiv.org/abs/2307.10705","Bài TwinLiteNet")</f>
        <v>Bài TwinLiteNet</v>
      </c>
      <c r="D30" s="10" t="str">
        <f>HYPERLINK("https://arxiv.org/abs/2108.11250","Bài YOLOP")</f>
        <v>Bài YOLOP</v>
      </c>
    </row>
    <row r="31" ht="27.75" customHeight="1" spans="1:4">
      <c r="A31" s="3" t="s">
        <v>93</v>
      </c>
      <c r="B31" s="10" t="str">
        <f>HYPERLINK("https://bdd-data.berkeley.edu/","BDD100K")</f>
        <v>BDD100K</v>
      </c>
      <c r="C31" s="10" t="str">
        <f>HYPERLINK("https://bdd-data.berkeley.edu/","BDD100K")</f>
        <v>BDD100K</v>
      </c>
      <c r="D31" s="10" t="str">
        <f>HYPERLINK("https://bdd-data.berkeley.edu/","BDD100K")</f>
        <v>BDD100K</v>
      </c>
    </row>
    <row r="32" ht="27.75" customHeight="1" spans="1:4">
      <c r="A32" s="3" t="s">
        <v>94</v>
      </c>
      <c r="B32" s="10" t="str">
        <f>HYPERLINK("https://github.com/ultralytics/ultralytics","Code Ultralytics")</f>
        <v>Code Ultralytics</v>
      </c>
      <c r="C32" s="10" t="str">
        <f>HYPERLINK("https://github.com/chequanghuy/TwinLiteNet","Code TwinLiteNet")</f>
        <v>Code TwinLiteNet</v>
      </c>
      <c r="D32" s="10" t="str">
        <f>HYPERLINK("https://github.com/hustvl/YOLOP","Code YOLOP")</f>
        <v>Code YOLOP</v>
      </c>
    </row>
    <row r="33" ht="27.75" customHeight="1" spans="1:4">
      <c r="A33" s="3" t="s">
        <v>95</v>
      </c>
      <c r="B33" s="10" t="str">
        <f>HYPERLINK("https://docs.ultralytics.com/integrations/coreml/","Hướng dẫn xuất Core ML")</f>
        <v>Hướng dẫn xuất Core ML</v>
      </c>
      <c r="C33" s="10" t="str">
        <f>HYPERLINK("https://github.com/chequanghuy/TwinLiteNet","Trọng số trong repo")</f>
        <v>Trọng số trong repo</v>
      </c>
      <c r="D33" s="10" t="str">
        <f>HYPERLINK("https://github.com/hustvl/YOLOP","Trọng số + ONNX trong repo")</f>
        <v>Trọng số + ONNX trong repo</v>
      </c>
    </row>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count="1">
    <dataValidation type="list" allowBlank="1" sqref="B25:D25">
      <formula1>"Chưa chọn,Ưu tiên,Dự phòng,Không chọn"</formula1>
    </dataValidation>
  </dataValidations>
  <pageMargins left="0.7" right="0.7" top="0.75" bottom="0.75" header="0.511811023622047" footer="0.511811023622047"/>
  <pageSetup paperSize="1" orientation="landscape" horizontalDpi="300" verticalDpi="3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tabColor rgb="FF203B61"/>
  </sheetPr>
  <dimension ref="A1:I979"/>
  <sheetViews>
    <sheetView showGridLines="0" workbookViewId="0">
      <pane ySplit="4" topLeftCell="A5" activePane="bottomLeft" state="frozen"/>
      <selection/>
      <selection pane="bottomLeft" activeCell="B6" sqref="B6"/>
    </sheetView>
  </sheetViews>
  <sheetFormatPr defaultColWidth="12.6296296296296" defaultRowHeight="14.4"/>
  <cols>
    <col min="1" max="1" width="9.37962962962963" customWidth="1"/>
    <col min="2" max="2" width="14.3796296296296" customWidth="1"/>
    <col min="3" max="3" width="42.5" customWidth="1"/>
    <col min="4" max="4" width="16.5" customWidth="1"/>
    <col min="5" max="5" width="35" customWidth="1"/>
    <col min="6" max="6" width="41.25" customWidth="1"/>
    <col min="7" max="7" width="15" customWidth="1"/>
    <col min="8" max="8" width="16.8888888888889" customWidth="1"/>
    <col min="9" max="9" width="26.25" customWidth="1"/>
    <col min="10" max="24" width="8.62962962962963" customWidth="1"/>
  </cols>
  <sheetData>
    <row r="1" spans="1:9">
      <c r="A1" s="1"/>
      <c r="B1" s="1"/>
      <c r="C1" s="1"/>
      <c r="D1" s="1"/>
      <c r="E1" s="1"/>
      <c r="F1" s="1"/>
      <c r="G1" s="1"/>
      <c r="H1" s="1"/>
      <c r="I1" s="1"/>
    </row>
    <row r="2" ht="30" customHeight="1" spans="1:9">
      <c r="A2" s="2"/>
      <c r="B2" s="1"/>
      <c r="C2" s="2" t="s">
        <v>96</v>
      </c>
      <c r="D2" s="1"/>
      <c r="E2" s="1"/>
      <c r="F2" s="1"/>
      <c r="G2" s="1"/>
      <c r="H2" s="1"/>
      <c r="I2" s="1"/>
    </row>
    <row r="3" spans="1:9">
      <c r="A3" s="3"/>
      <c r="B3" s="3"/>
      <c r="C3" s="3"/>
      <c r="D3" s="3"/>
      <c r="E3" s="3"/>
      <c r="F3" s="1"/>
      <c r="G3" s="1"/>
      <c r="H3" s="1"/>
      <c r="I3" s="1"/>
    </row>
    <row r="4" ht="31.5" customHeight="1" spans="1:9">
      <c r="A4" s="4" t="s">
        <v>97</v>
      </c>
      <c r="B4" s="4" t="s">
        <v>98</v>
      </c>
      <c r="C4" s="4" t="s">
        <v>99</v>
      </c>
      <c r="D4" s="5" t="s">
        <v>100</v>
      </c>
      <c r="E4" s="4" t="s">
        <v>101</v>
      </c>
      <c r="F4" s="4" t="s">
        <v>102</v>
      </c>
      <c r="G4" s="4" t="s">
        <v>103</v>
      </c>
      <c r="H4" s="4" t="s">
        <v>104</v>
      </c>
      <c r="I4" s="4" t="s">
        <v>105</v>
      </c>
    </row>
    <row r="5" ht="61.5" customHeight="1" spans="1:9">
      <c r="A5" s="6" t="s">
        <v>134</v>
      </c>
      <c r="B5" s="6" t="s">
        <v>121</v>
      </c>
      <c r="C5" s="6" t="s">
        <v>135</v>
      </c>
      <c r="D5" s="6" t="s">
        <v>130</v>
      </c>
      <c r="E5" s="6" t="s">
        <v>137</v>
      </c>
      <c r="F5" s="6" t="s">
        <v>138</v>
      </c>
      <c r="G5" s="6"/>
      <c r="H5" s="6" t="s">
        <v>112</v>
      </c>
      <c r="I5" s="6" t="s">
        <v>139</v>
      </c>
    </row>
    <row r="6" ht="61.5" customHeight="1" spans="1:9">
      <c r="A6" s="6" t="s">
        <v>140</v>
      </c>
      <c r="B6" s="6" t="s">
        <v>141</v>
      </c>
      <c r="C6" s="6" t="s">
        <v>142</v>
      </c>
      <c r="D6" s="6" t="s">
        <v>130</v>
      </c>
      <c r="E6" s="6" t="s">
        <v>143</v>
      </c>
      <c r="F6" s="6" t="s">
        <v>144</v>
      </c>
      <c r="G6" s="6"/>
      <c r="H6" s="6" t="s">
        <v>316</v>
      </c>
      <c r="I6" s="6" t="s">
        <v>145</v>
      </c>
    </row>
    <row r="7" ht="61.5" customHeight="1" spans="1:9">
      <c r="A7" s="6" t="s">
        <v>146</v>
      </c>
      <c r="B7" s="6" t="s">
        <v>147</v>
      </c>
      <c r="C7" s="6" t="s">
        <v>148</v>
      </c>
      <c r="D7" s="6" t="s">
        <v>130</v>
      </c>
      <c r="E7" s="6" t="s">
        <v>149</v>
      </c>
      <c r="F7" s="6" t="s">
        <v>150</v>
      </c>
      <c r="G7" s="6" t="s">
        <v>134</v>
      </c>
      <c r="H7" s="6" t="s">
        <v>316</v>
      </c>
      <c r="I7" s="6"/>
    </row>
    <row r="8" ht="61.5" customHeight="1" spans="1:9">
      <c r="A8" s="6" t="s">
        <v>151</v>
      </c>
      <c r="B8" s="6" t="s">
        <v>147</v>
      </c>
      <c r="C8" s="6" t="s">
        <v>152</v>
      </c>
      <c r="D8" s="6" t="s">
        <v>130</v>
      </c>
      <c r="E8" s="6" t="s">
        <v>153</v>
      </c>
      <c r="F8" s="6" t="s">
        <v>154</v>
      </c>
      <c r="G8" s="6" t="s">
        <v>155</v>
      </c>
      <c r="H8" s="6" t="s">
        <v>112</v>
      </c>
      <c r="I8" s="6" t="s">
        <v>156</v>
      </c>
    </row>
    <row r="9" ht="61.5" customHeight="1" spans="1:9">
      <c r="A9" s="6" t="s">
        <v>157</v>
      </c>
      <c r="B9" s="6" t="s">
        <v>147</v>
      </c>
      <c r="C9" s="6" t="s">
        <v>158</v>
      </c>
      <c r="D9" s="6" t="s">
        <v>130</v>
      </c>
      <c r="E9" s="6" t="s">
        <v>159</v>
      </c>
      <c r="F9" s="6" t="s">
        <v>160</v>
      </c>
      <c r="G9" s="6" t="s">
        <v>151</v>
      </c>
      <c r="H9" s="6" t="s">
        <v>126</v>
      </c>
      <c r="I9" s="6" t="s">
        <v>162</v>
      </c>
    </row>
    <row r="10" ht="61.5" customHeight="1" spans="1:9">
      <c r="A10" s="6" t="s">
        <v>174</v>
      </c>
      <c r="B10" s="6" t="s">
        <v>175</v>
      </c>
      <c r="C10" s="6" t="s">
        <v>176</v>
      </c>
      <c r="D10" s="6" t="s">
        <v>130</v>
      </c>
      <c r="E10" s="6" t="s">
        <v>177</v>
      </c>
      <c r="F10" s="6" t="s">
        <v>178</v>
      </c>
      <c r="G10" s="6"/>
      <c r="H10" s="6" t="s">
        <v>126</v>
      </c>
      <c r="I10" s="6" t="s">
        <v>179</v>
      </c>
    </row>
    <row r="11" ht="61.5" customHeight="1" spans="1:9">
      <c r="A11" s="6" t="s">
        <v>180</v>
      </c>
      <c r="B11" s="6" t="s">
        <v>31</v>
      </c>
      <c r="C11" s="6" t="s">
        <v>181</v>
      </c>
      <c r="D11" s="6" t="s">
        <v>130</v>
      </c>
      <c r="E11" s="6" t="s">
        <v>182</v>
      </c>
      <c r="F11" s="6" t="s">
        <v>183</v>
      </c>
      <c r="G11" s="6"/>
      <c r="H11" s="6" t="s">
        <v>126</v>
      </c>
      <c r="I11" s="6" t="s">
        <v>185</v>
      </c>
    </row>
    <row r="12" ht="61.5" customHeight="1" spans="1:9">
      <c r="A12" s="6" t="s">
        <v>186</v>
      </c>
      <c r="B12" s="6" t="s">
        <v>31</v>
      </c>
      <c r="C12" s="6" t="s">
        <v>187</v>
      </c>
      <c r="D12" s="6" t="s">
        <v>130</v>
      </c>
      <c r="E12" s="6" t="s">
        <v>188</v>
      </c>
      <c r="F12" s="6" t="s">
        <v>189</v>
      </c>
      <c r="G12" s="6" t="s">
        <v>190</v>
      </c>
      <c r="H12" s="6" t="s">
        <v>112</v>
      </c>
      <c r="I12" s="6" t="s">
        <v>191</v>
      </c>
    </row>
    <row r="13" ht="61.5" customHeight="1" spans="1:9">
      <c r="A13" s="6" t="s">
        <v>192</v>
      </c>
      <c r="B13" s="6" t="s">
        <v>31</v>
      </c>
      <c r="C13" s="6" t="s">
        <v>193</v>
      </c>
      <c r="D13" s="6" t="s">
        <v>130</v>
      </c>
      <c r="E13" s="6" t="s">
        <v>194</v>
      </c>
      <c r="F13" s="6" t="s">
        <v>195</v>
      </c>
      <c r="G13" s="6" t="s">
        <v>186</v>
      </c>
      <c r="H13" s="6" t="s">
        <v>112</v>
      </c>
      <c r="I13" s="6"/>
    </row>
    <row r="14" ht="61.5" customHeight="1" spans="1:9">
      <c r="A14" s="6" t="s">
        <v>201</v>
      </c>
      <c r="B14" s="6" t="s">
        <v>202</v>
      </c>
      <c r="C14" s="6" t="s">
        <v>203</v>
      </c>
      <c r="D14" s="6" t="s">
        <v>130</v>
      </c>
      <c r="E14" s="6" t="s">
        <v>204</v>
      </c>
      <c r="F14" s="6" t="s">
        <v>205</v>
      </c>
      <c r="G14" s="6" t="s">
        <v>320</v>
      </c>
      <c r="H14" s="6" t="s">
        <v>126</v>
      </c>
      <c r="I14" s="6"/>
    </row>
    <row r="15" ht="61.5" customHeight="1" spans="1:9">
      <c r="A15" s="6" t="s">
        <v>207</v>
      </c>
      <c r="B15" s="6" t="s">
        <v>208</v>
      </c>
      <c r="C15" s="6" t="s">
        <v>209</v>
      </c>
      <c r="D15" s="6" t="s">
        <v>130</v>
      </c>
      <c r="E15" s="6" t="s">
        <v>210</v>
      </c>
      <c r="F15" s="6" t="s">
        <v>211</v>
      </c>
      <c r="G15" s="6" t="s">
        <v>201</v>
      </c>
      <c r="H15" s="6" t="s">
        <v>112</v>
      </c>
      <c r="I15" s="6"/>
    </row>
    <row r="16" ht="61.5" customHeight="1" spans="1:9">
      <c r="A16" s="6" t="s">
        <v>212</v>
      </c>
      <c r="B16" s="6" t="s">
        <v>213</v>
      </c>
      <c r="C16" s="6" t="s">
        <v>214</v>
      </c>
      <c r="D16" s="6" t="s">
        <v>130</v>
      </c>
      <c r="E16" s="6" t="s">
        <v>215</v>
      </c>
      <c r="F16" s="6" t="s">
        <v>216</v>
      </c>
      <c r="G16" s="6" t="s">
        <v>207</v>
      </c>
      <c r="H16" s="6" t="s">
        <v>112</v>
      </c>
      <c r="I16" s="6"/>
    </row>
    <row r="17" ht="61.5" customHeight="1" spans="1:9">
      <c r="A17" s="6" t="s">
        <v>217</v>
      </c>
      <c r="B17" s="6" t="s">
        <v>197</v>
      </c>
      <c r="C17" s="6" t="s">
        <v>218</v>
      </c>
      <c r="D17" s="6" t="s">
        <v>130</v>
      </c>
      <c r="E17" s="6" t="s">
        <v>219</v>
      </c>
      <c r="F17" s="6" t="s">
        <v>220</v>
      </c>
      <c r="G17" s="6" t="s">
        <v>207</v>
      </c>
      <c r="H17" s="6" t="s">
        <v>112</v>
      </c>
      <c r="I17" s="6" t="s">
        <v>222</v>
      </c>
    </row>
    <row r="18" ht="61.5" customHeight="1" spans="1:9">
      <c r="A18" s="6" t="s">
        <v>223</v>
      </c>
      <c r="B18" s="6" t="s">
        <v>224</v>
      </c>
      <c r="C18" s="6" t="s">
        <v>225</v>
      </c>
      <c r="D18" s="6" t="s">
        <v>130</v>
      </c>
      <c r="E18" s="6" t="s">
        <v>226</v>
      </c>
      <c r="F18" s="6" t="s">
        <v>227</v>
      </c>
      <c r="G18" s="6" t="s">
        <v>212</v>
      </c>
      <c r="H18" s="6" t="s">
        <v>112</v>
      </c>
      <c r="I18" s="6" t="s">
        <v>228</v>
      </c>
    </row>
    <row r="19" ht="61.5" customHeight="1" spans="1:9">
      <c r="A19" s="6" t="s">
        <v>251</v>
      </c>
      <c r="B19" s="6" t="s">
        <v>252</v>
      </c>
      <c r="C19" s="6" t="s">
        <v>253</v>
      </c>
      <c r="D19" s="6" t="s">
        <v>130</v>
      </c>
      <c r="E19" s="6" t="s">
        <v>254</v>
      </c>
      <c r="F19" s="6" t="s">
        <v>255</v>
      </c>
      <c r="G19" s="6" t="s">
        <v>212</v>
      </c>
      <c r="H19" s="6" t="s">
        <v>126</v>
      </c>
      <c r="I19" s="6"/>
    </row>
    <row r="20" ht="61.5" customHeight="1" spans="1:9">
      <c r="A20" s="6" t="s">
        <v>270</v>
      </c>
      <c r="B20" s="6" t="s">
        <v>271</v>
      </c>
      <c r="C20" s="6" t="s">
        <v>272</v>
      </c>
      <c r="D20" s="6" t="s">
        <v>130</v>
      </c>
      <c r="E20" s="6" t="s">
        <v>273</v>
      </c>
      <c r="F20" s="6" t="s">
        <v>274</v>
      </c>
      <c r="G20" s="6" t="s">
        <v>251</v>
      </c>
      <c r="H20" s="6" t="s">
        <v>126</v>
      </c>
      <c r="I20" s="6"/>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sheetData>
  <conditionalFormatting sqref="H5:H20">
    <cfRule type="containsText" dxfId="0" priority="2" operator="between" text="Vướng mắc">
      <formula>NOT(ISERROR(SEARCH("Vướng mắc",H5)))</formula>
    </cfRule>
  </conditionalFormatting>
  <dataValidations count="1">
    <dataValidation type="list" allowBlank="1" sqref="H5:H20">
      <formula1>"Chưa bắt đầu,Đang làm,Vướng mắc,Hoàn thành"</formula1>
    </dataValidation>
  </dataValidations>
  <pageMargins left="0.7" right="0.7" top="0.75" bottom="0.75" header="0.511811023622047" footer="0.511811023622047"/>
  <pageSetup paperSize="1" orientation="landscape" horizontalDpi="300" verticalDpi="300"/>
  <headerFooter/>
  <tableParts count="1">
    <tablePart r:id="rId1"/>
  </tableParts>
</worksheet>
</file>

<file path=docProps/app.xml><?xml version="1.0" encoding="utf-8"?>
<Properties xmlns="http://schemas.openxmlformats.org/officeDocument/2006/extended-properties" xmlns:vt="http://schemas.openxmlformats.org/officeDocument/2006/docPropsVTypes">
  <Application>LibreOffice/24.2.7.2$Linux_X86_64 LibreOffice_project/420$Build-2</Application>
  <HeadingPairs>
    <vt:vector size="2" baseType="variant">
      <vt:variant>
        <vt:lpstr>工作表</vt:lpstr>
      </vt:variant>
      <vt:variant>
        <vt:i4>2</vt:i4>
      </vt:variant>
    </vt:vector>
  </HeadingPairs>
  <TitlesOfParts>
    <vt:vector size="2" baseType="lpstr">
      <vt:lpstr>So sánh đề tài</vt:lpstr>
      <vt:lpstr>Công việc cần làm</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User</cp:lastModifiedBy>
  <cp:revision>0</cp:revision>
  <dcterms:created xsi:type="dcterms:W3CDTF">2026-09-26T15:15:00Z</dcterms:created>
  <dcterms:modified xsi:type="dcterms:W3CDTF">2026-09-26T15:21:35Z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02823A9E495941A09A57635F3AD63D0C_12</vt:lpwstr>
  </property>
  <property fmtid="{D5CDD505-2E9C-101B-9397-08002B2CF9AE}" pid="3" name="KSOProductBuildVer">
    <vt:lpwstr>1033-12.1.0.28485</vt:lpwstr>
  </property>
  <property fmtid="{D5CDD505-2E9C-101B-9397-08002B2CF9AE}" pid="4" name="CalculationRule">
    <vt:i4>0</vt:i4>
  </property>
</Properties>
</file>